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/Library/CloudStorage/GoogleDrive-sbirch1@charlotte.edu/My Drive/Postdoc_work/Mesocosom_exps/Mesocosom_Summer_2022/Meso_2022_manuscript/Figures/"/>
    </mc:Choice>
  </mc:AlternateContent>
  <xr:revisionPtr revIDLastSave="0" documentId="8_{3B7F9328-92A8-0D4B-94C2-E0581D77EEB4}" xr6:coauthVersionLast="47" xr6:coauthVersionMax="47" xr10:uidLastSave="{00000000-0000-0000-0000-000000000000}"/>
  <bookViews>
    <workbookView xWindow="1180" yWindow="1600" windowWidth="27240" windowHeight="14780" xr2:uid="{4F6B1CE6-468D-F641-8187-2F32D93B95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7" i="1" l="1"/>
  <c r="N47" i="1"/>
  <c r="M47" i="1"/>
  <c r="L47" i="1"/>
  <c r="J47" i="1"/>
  <c r="I47" i="1"/>
  <c r="H47" i="1"/>
  <c r="G47" i="1"/>
  <c r="F47" i="1"/>
  <c r="E47" i="1"/>
  <c r="D47" i="1"/>
  <c r="C47" i="1"/>
  <c r="B47" i="1"/>
  <c r="R23" i="1"/>
  <c r="Q23" i="1"/>
  <c r="P23" i="1"/>
  <c r="R20" i="1"/>
  <c r="Q20" i="1"/>
  <c r="P20" i="1"/>
  <c r="R17" i="1"/>
  <c r="Q17" i="1"/>
  <c r="P17" i="1"/>
  <c r="R14" i="1"/>
  <c r="Q14" i="1"/>
  <c r="P14" i="1"/>
  <c r="R11" i="1"/>
  <c r="Q11" i="1"/>
  <c r="P11" i="1"/>
  <c r="R8" i="1"/>
  <c r="Q8" i="1"/>
  <c r="P8" i="1"/>
  <c r="R5" i="1"/>
  <c r="Q5" i="1"/>
  <c r="P5" i="1"/>
</calcChain>
</file>

<file path=xl/sharedStrings.xml><?xml version="1.0" encoding="utf-8"?>
<sst xmlns="http://schemas.openxmlformats.org/spreadsheetml/2006/main" count="97" uniqueCount="89">
  <si>
    <t>Read names:</t>
  </si>
  <si>
    <t>filtered_#P</t>
  </si>
  <si>
    <t>mapped or aligned</t>
  </si>
  <si>
    <t>unmapped or unaligned</t>
  </si>
  <si>
    <t>filtered_unmapped or filtred_unaligned</t>
  </si>
  <si>
    <t>nr_filtered</t>
  </si>
  <si>
    <t xml:space="preserve">Collapsed Reps </t>
  </si>
  <si>
    <t>Aligners:</t>
  </si>
  <si>
    <t>Trimmomatic</t>
  </si>
  <si>
    <t>HISAT2</t>
  </si>
  <si>
    <t>Bowtie</t>
  </si>
  <si>
    <t>Names</t>
  </si>
  <si>
    <t>Spades rnaviral</t>
  </si>
  <si>
    <t>BLAST - prot</t>
  </si>
  <si>
    <t>Blast Total</t>
  </si>
  <si>
    <t>Blast 70%</t>
  </si>
  <si>
    <t>Blast 50%</t>
  </si>
  <si>
    <t>Sample</t>
  </si>
  <si>
    <t>Raw Reads</t>
  </si>
  <si>
    <t>Trimmed Reads</t>
  </si>
  <si>
    <t>Aligned</t>
  </si>
  <si>
    <t>1st Ali (unaligned reads)</t>
  </si>
  <si>
    <t>2nd Ali(unaligned reads)</t>
  </si>
  <si>
    <t>3rd Ali (unaligned reads)</t>
  </si>
  <si>
    <t>Unmapped (4th ali)</t>
  </si>
  <si>
    <t>rRNA filtered</t>
  </si>
  <si>
    <t>NR NCBI Filtered</t>
  </si>
  <si>
    <r>
      <t xml:space="preserve">nucleotide </t>
    </r>
    <r>
      <rPr>
        <sz val="12"/>
        <color rgb="FF000000"/>
        <rFont val="Calibri"/>
        <family val="2"/>
      </rPr>
      <t>(scaffolds)</t>
    </r>
  </si>
  <si>
    <t>Total hits</t>
  </si>
  <si>
    <t>70% pident</t>
  </si>
  <si>
    <t>50% pident</t>
  </si>
  <si>
    <t>T0/T14 ratio</t>
  </si>
  <si>
    <t>NH_T0-FIELD_B1</t>
  </si>
  <si>
    <t>FIELD-T0</t>
  </si>
  <si>
    <t>NH_T0-FIELD_B2</t>
  </si>
  <si>
    <t>NH_T0-FIELD_B4</t>
  </si>
  <si>
    <t>NH_T0-FL_B2</t>
  </si>
  <si>
    <t>FL-T0</t>
  </si>
  <si>
    <t>NH_T0-FL_B4</t>
  </si>
  <si>
    <t>NH_T0-FL_B5</t>
  </si>
  <si>
    <t>NH_T0-MA_B2</t>
  </si>
  <si>
    <t>MA-T0</t>
  </si>
  <si>
    <t>NH_T0-MA_B4</t>
  </si>
  <si>
    <t>NH_T0-MA_B5</t>
  </si>
  <si>
    <t>NH_T0-ME_B2</t>
  </si>
  <si>
    <t>ME-T0</t>
  </si>
  <si>
    <t>NH_T0-ME_B4</t>
  </si>
  <si>
    <t>NH_T0-ME_B5</t>
  </si>
  <si>
    <t>NH_T0-NH_B2</t>
  </si>
  <si>
    <t>NH-T0</t>
  </si>
  <si>
    <t>NH_T0-NH_B4</t>
  </si>
  <si>
    <t>NH_T0-NH_B5</t>
  </si>
  <si>
    <t>NH_T0-NS_B1</t>
  </si>
  <si>
    <t>NS-T0</t>
  </si>
  <si>
    <t>NH_T0-NS_B2</t>
  </si>
  <si>
    <t>NH_T0-NS_B4</t>
  </si>
  <si>
    <t>NH_T0-SC_B2</t>
  </si>
  <si>
    <t>SC-T0</t>
  </si>
  <si>
    <t>NH_T0-SC_B3</t>
  </si>
  <si>
    <t>NH_T0-SC_B5</t>
  </si>
  <si>
    <t>NH_T14-FIELD_B3</t>
  </si>
  <si>
    <t>FIELD-T14</t>
  </si>
  <si>
    <t>NH_T14-FIELD_B4</t>
  </si>
  <si>
    <t>NH_T14-FIELD_B4-whoops</t>
  </si>
  <si>
    <t>NH_T14-FL_B3</t>
  </si>
  <si>
    <t>FL-T14</t>
  </si>
  <si>
    <t>NH_T14-FL_B4</t>
  </si>
  <si>
    <t>NH_T14-FL_B5</t>
  </si>
  <si>
    <t>NH_T14-MA_B1</t>
  </si>
  <si>
    <t>MA-T14</t>
  </si>
  <si>
    <t>NH_T14-MA_B2</t>
  </si>
  <si>
    <t>NH_T14-MA_B5</t>
  </si>
  <si>
    <t>NH_T14-ME_B1</t>
  </si>
  <si>
    <t>ME-T14</t>
  </si>
  <si>
    <t>NH_T14-ME_B3</t>
  </si>
  <si>
    <t>NH_T14-ME_B5</t>
  </si>
  <si>
    <t>NH_T14-NH_B2</t>
  </si>
  <si>
    <t>NH-T14</t>
  </si>
  <si>
    <t>NH_T14-NH_B4</t>
  </si>
  <si>
    <t>NH_T14-NH_B5</t>
  </si>
  <si>
    <t>NH_T14-NS_B1</t>
  </si>
  <si>
    <t>NS-T14</t>
  </si>
  <si>
    <t>NH_T14-NS_B4</t>
  </si>
  <si>
    <t>NH_T14-NS_B5</t>
  </si>
  <si>
    <t>NH_T14-SC_B3</t>
  </si>
  <si>
    <t>SC-T14</t>
  </si>
  <si>
    <t>NH_T14-SC_B4</t>
  </si>
  <si>
    <t>NH_T14-SC_B5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</si>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</sst>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6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F2CC"/>
        <bgColor rgb="FF000000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9" xfId="0" applyFont="1" applyBorder="1"/>
    <xf numFmtId="0" fontId="4" fillId="0" borderId="9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1" fillId="0" borderId="18" xfId="0" applyFont="1" applyBorder="1"/>
    <xf numFmtId="3" fontId="1" fillId="0" borderId="19" xfId="0" applyNumberFormat="1" applyFont="1" applyBorder="1" applyAlignment="1">
      <alignment horizontal="center" vertical="center"/>
    </xf>
    <xf numFmtId="3" fontId="1" fillId="0" borderId="18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3" fontId="1" fillId="0" borderId="22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4" borderId="4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0" fontId="1" fillId="5" borderId="18" xfId="0" applyFont="1" applyFill="1" applyBorder="1"/>
    <xf numFmtId="3" fontId="1" fillId="5" borderId="19" xfId="0" applyNumberFormat="1" applyFont="1" applyFill="1" applyBorder="1" applyAlignment="1">
      <alignment horizontal="center" vertical="center"/>
    </xf>
    <xf numFmtId="3" fontId="1" fillId="5" borderId="18" xfId="0" applyNumberFormat="1" applyFont="1" applyFill="1" applyBorder="1" applyAlignment="1">
      <alignment horizontal="center" vertical="center"/>
    </xf>
    <xf numFmtId="3" fontId="1" fillId="5" borderId="20" xfId="0" applyNumberFormat="1" applyFont="1" applyFill="1" applyBorder="1" applyAlignment="1">
      <alignment horizontal="center" vertical="center"/>
    </xf>
    <xf numFmtId="3" fontId="1" fillId="5" borderId="21" xfId="0" applyNumberFormat="1" applyFont="1" applyFill="1" applyBorder="1" applyAlignment="1">
      <alignment horizontal="center" vertical="center"/>
    </xf>
    <xf numFmtId="3" fontId="1" fillId="5" borderId="22" xfId="0" applyNumberFormat="1" applyFont="1" applyFill="1" applyBorder="1" applyAlignment="1">
      <alignment horizontal="center" vertical="center"/>
    </xf>
    <xf numFmtId="3" fontId="1" fillId="0" borderId="23" xfId="0" applyNumberFormat="1" applyFont="1" applyBorder="1" applyAlignment="1">
      <alignment horizontal="center" vertical="center"/>
    </xf>
    <xf numFmtId="3" fontId="1" fillId="4" borderId="23" xfId="0" applyNumberFormat="1" applyFont="1" applyFill="1" applyBorder="1" applyAlignment="1">
      <alignment horizontal="center" vertical="center"/>
    </xf>
    <xf numFmtId="3" fontId="1" fillId="2" borderId="23" xfId="0" applyNumberFormat="1" applyFont="1" applyFill="1" applyBorder="1" applyAlignment="1">
      <alignment horizontal="center" vertical="center"/>
    </xf>
    <xf numFmtId="4" fontId="1" fillId="0" borderId="23" xfId="0" applyNumberFormat="1" applyFont="1" applyBorder="1" applyAlignment="1">
      <alignment horizontal="center" vertical="center"/>
    </xf>
    <xf numFmtId="0" fontId="1" fillId="0" borderId="24" xfId="0" applyFont="1" applyBorder="1"/>
    <xf numFmtId="3" fontId="1" fillId="0" borderId="25" xfId="0" applyNumberFormat="1" applyFont="1" applyBorder="1" applyAlignment="1">
      <alignment horizontal="center" vertical="center"/>
    </xf>
    <xf numFmtId="3" fontId="1" fillId="0" borderId="24" xfId="0" applyNumberFormat="1" applyFont="1" applyBorder="1" applyAlignment="1">
      <alignment horizontal="center" vertical="center"/>
    </xf>
    <xf numFmtId="3" fontId="1" fillId="0" borderId="26" xfId="0" applyNumberFormat="1" applyFont="1" applyBorder="1" applyAlignment="1">
      <alignment horizontal="center" vertical="center"/>
    </xf>
    <xf numFmtId="3" fontId="1" fillId="0" borderId="27" xfId="0" applyNumberFormat="1" applyFont="1" applyBorder="1" applyAlignment="1">
      <alignment horizontal="center" vertical="center"/>
    </xf>
    <xf numFmtId="3" fontId="1" fillId="0" borderId="28" xfId="0" applyNumberFormat="1" applyFont="1" applyBorder="1" applyAlignment="1">
      <alignment horizontal="center" vertical="center"/>
    </xf>
    <xf numFmtId="3" fontId="1" fillId="0" borderId="29" xfId="0" applyNumberFormat="1" applyFont="1" applyBorder="1" applyAlignment="1">
      <alignment horizontal="center" vertical="center"/>
    </xf>
    <xf numFmtId="3" fontId="1" fillId="4" borderId="29" xfId="0" applyNumberFormat="1" applyFont="1" applyFill="1" applyBorder="1" applyAlignment="1">
      <alignment horizontal="center" vertical="center"/>
    </xf>
    <xf numFmtId="3" fontId="1" fillId="2" borderId="29" xfId="0" applyNumberFormat="1" applyFont="1" applyFill="1" applyBorder="1" applyAlignment="1">
      <alignment horizontal="center" vertical="center"/>
    </xf>
    <xf numFmtId="4" fontId="1" fillId="0" borderId="29" xfId="0" applyNumberFormat="1" applyFont="1" applyBorder="1" applyAlignment="1">
      <alignment horizontal="center" vertical="center"/>
    </xf>
    <xf numFmtId="0" fontId="1" fillId="5" borderId="30" xfId="0" applyFont="1" applyFill="1" applyBorder="1"/>
    <xf numFmtId="3" fontId="1" fillId="5" borderId="31" xfId="0" applyNumberFormat="1" applyFont="1" applyFill="1" applyBorder="1" applyAlignment="1">
      <alignment horizontal="center" vertical="center"/>
    </xf>
    <xf numFmtId="3" fontId="1" fillId="5" borderId="30" xfId="0" applyNumberFormat="1" applyFont="1" applyFill="1" applyBorder="1" applyAlignment="1">
      <alignment horizontal="center" vertical="center"/>
    </xf>
    <xf numFmtId="3" fontId="1" fillId="5" borderId="32" xfId="0" applyNumberFormat="1" applyFont="1" applyFill="1" applyBorder="1" applyAlignment="1">
      <alignment horizontal="center" vertical="center"/>
    </xf>
    <xf numFmtId="3" fontId="1" fillId="5" borderId="33" xfId="0" applyNumberFormat="1" applyFont="1" applyFill="1" applyBorder="1" applyAlignment="1">
      <alignment horizontal="center" vertical="center"/>
    </xf>
    <xf numFmtId="3" fontId="1" fillId="5" borderId="34" xfId="0" applyNumberFormat="1" applyFont="1" applyFill="1" applyBorder="1" applyAlignment="1">
      <alignment horizontal="center" vertical="center"/>
    </xf>
    <xf numFmtId="3" fontId="1" fillId="5" borderId="4" xfId="0" applyNumberFormat="1" applyFont="1" applyFill="1" applyBorder="1" applyAlignment="1">
      <alignment horizontal="center" vertical="center"/>
    </xf>
    <xf numFmtId="3" fontId="1" fillId="6" borderId="4" xfId="0" applyNumberFormat="1" applyFont="1" applyFill="1" applyBorder="1" applyAlignment="1">
      <alignment horizontal="center" vertical="center"/>
    </xf>
    <xf numFmtId="3" fontId="1" fillId="7" borderId="4" xfId="0" applyNumberFormat="1" applyFont="1" applyFill="1" applyBorder="1" applyAlignment="1">
      <alignment horizontal="center" vertical="center"/>
    </xf>
    <xf numFmtId="3" fontId="1" fillId="5" borderId="23" xfId="0" applyNumberFormat="1" applyFont="1" applyFill="1" applyBorder="1" applyAlignment="1">
      <alignment horizontal="center" vertical="center"/>
    </xf>
    <xf numFmtId="3" fontId="1" fillId="6" borderId="23" xfId="0" applyNumberFormat="1" applyFont="1" applyFill="1" applyBorder="1" applyAlignment="1">
      <alignment horizontal="center" vertical="center"/>
    </xf>
    <xf numFmtId="3" fontId="1" fillId="7" borderId="23" xfId="0" applyNumberFormat="1" applyFont="1" applyFill="1" applyBorder="1" applyAlignment="1">
      <alignment horizontal="center" vertical="center"/>
    </xf>
    <xf numFmtId="0" fontId="1" fillId="5" borderId="24" xfId="0" applyFont="1" applyFill="1" applyBorder="1"/>
    <xf numFmtId="3" fontId="1" fillId="5" borderId="25" xfId="0" applyNumberFormat="1" applyFont="1" applyFill="1" applyBorder="1" applyAlignment="1">
      <alignment horizontal="center" vertical="center"/>
    </xf>
    <xf numFmtId="3" fontId="1" fillId="5" borderId="24" xfId="0" applyNumberFormat="1" applyFont="1" applyFill="1" applyBorder="1" applyAlignment="1">
      <alignment horizontal="center" vertical="center"/>
    </xf>
    <xf numFmtId="3" fontId="1" fillId="5" borderId="26" xfId="0" applyNumberFormat="1" applyFont="1" applyFill="1" applyBorder="1" applyAlignment="1">
      <alignment horizontal="center" vertical="center"/>
    </xf>
    <xf numFmtId="3" fontId="1" fillId="5" borderId="27" xfId="0" applyNumberFormat="1" applyFont="1" applyFill="1" applyBorder="1" applyAlignment="1">
      <alignment horizontal="center" vertical="center"/>
    </xf>
    <xf numFmtId="3" fontId="1" fillId="5" borderId="28" xfId="0" applyNumberFormat="1" applyFont="1" applyFill="1" applyBorder="1" applyAlignment="1">
      <alignment horizontal="center" vertical="center"/>
    </xf>
    <xf numFmtId="3" fontId="1" fillId="5" borderId="29" xfId="0" applyNumberFormat="1" applyFont="1" applyFill="1" applyBorder="1" applyAlignment="1">
      <alignment horizontal="center" vertical="center"/>
    </xf>
    <xf numFmtId="3" fontId="1" fillId="6" borderId="29" xfId="0" applyNumberFormat="1" applyFont="1" applyFill="1" applyBorder="1" applyAlignment="1">
      <alignment horizontal="center" vertical="center"/>
    </xf>
    <xf numFmtId="3" fontId="1" fillId="7" borderId="29" xfId="0" applyNumberFormat="1" applyFont="1" applyFill="1" applyBorder="1" applyAlignment="1">
      <alignment horizontal="center" vertical="center"/>
    </xf>
    <xf numFmtId="0" fontId="1" fillId="0" borderId="30" xfId="0" applyFont="1" applyBorder="1"/>
    <xf numFmtId="3" fontId="1" fillId="0" borderId="31" xfId="0" applyNumberFormat="1" applyFont="1" applyBorder="1" applyAlignment="1">
      <alignment horizontal="center" vertical="center"/>
    </xf>
    <xf numFmtId="3" fontId="1" fillId="0" borderId="30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3" fontId="1" fillId="0" borderId="34" xfId="0" applyNumberFormat="1" applyFont="1" applyBorder="1" applyAlignment="1">
      <alignment horizontal="center" vertical="center"/>
    </xf>
    <xf numFmtId="0" fontId="1" fillId="0" borderId="35" xfId="0" applyFont="1" applyBorder="1"/>
    <xf numFmtId="3" fontId="1" fillId="0" borderId="36" xfId="0" applyNumberFormat="1" applyFont="1" applyBorder="1" applyAlignment="1">
      <alignment horizontal="center" vertical="center"/>
    </xf>
    <xf numFmtId="3" fontId="1" fillId="0" borderId="3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3" fontId="1" fillId="0" borderId="39" xfId="0" applyNumberFormat="1" applyFont="1" applyBorder="1" applyAlignment="1">
      <alignment horizontal="center" vertical="center"/>
    </xf>
    <xf numFmtId="3" fontId="1" fillId="0" borderId="40" xfId="0" applyNumberFormat="1" applyFont="1" applyBorder="1" applyAlignment="1">
      <alignment horizontal="center" vertical="center"/>
    </xf>
    <xf numFmtId="3" fontId="1" fillId="4" borderId="40" xfId="0" applyNumberFormat="1" applyFont="1" applyFill="1" applyBorder="1" applyAlignment="1">
      <alignment horizontal="center" vertical="center"/>
    </xf>
    <xf numFmtId="3" fontId="1" fillId="2" borderId="40" xfId="0" applyNumberFormat="1" applyFont="1" applyFill="1" applyBorder="1" applyAlignment="1">
      <alignment horizontal="center" vertical="center"/>
    </xf>
    <xf numFmtId="4" fontId="1" fillId="0" borderId="40" xfId="0" applyNumberFormat="1" applyFont="1" applyBorder="1" applyAlignment="1">
      <alignment horizontal="center" vertical="center"/>
    </xf>
    <xf numFmtId="4" fontId="1" fillId="8" borderId="23" xfId="0" applyNumberFormat="1" applyFont="1" applyFill="1" applyBorder="1" applyAlignment="1">
      <alignment horizontal="center" vertical="center"/>
    </xf>
    <xf numFmtId="3" fontId="1" fillId="8" borderId="23" xfId="0" applyNumberFormat="1" applyFont="1" applyFill="1" applyBorder="1" applyAlignment="1">
      <alignment horizontal="center" vertical="center"/>
    </xf>
    <xf numFmtId="4" fontId="1" fillId="8" borderId="29" xfId="0" applyNumberFormat="1" applyFont="1" applyFill="1" applyBorder="1" applyAlignment="1">
      <alignment horizontal="center" vertical="center"/>
    </xf>
    <xf numFmtId="3" fontId="1" fillId="8" borderId="29" xfId="0" applyNumberFormat="1" applyFont="1" applyFill="1" applyBorder="1" applyAlignment="1">
      <alignment horizontal="center" vertical="center"/>
    </xf>
    <xf numFmtId="4" fontId="1" fillId="8" borderId="4" xfId="0" applyNumberFormat="1" applyFont="1" applyFill="1" applyBorder="1" applyAlignment="1">
      <alignment horizontal="center" vertical="center"/>
    </xf>
    <xf numFmtId="3" fontId="1" fillId="8" borderId="4" xfId="0" applyNumberFormat="1" applyFont="1" applyFill="1" applyBorder="1" applyAlignment="1">
      <alignment horizontal="center" vertical="center"/>
    </xf>
    <xf numFmtId="0" fontId="1" fillId="0" borderId="13" xfId="0" applyFont="1" applyBorder="1"/>
    <xf numFmtId="3" fontId="1" fillId="9" borderId="9" xfId="0" applyNumberFormat="1" applyFont="1" applyFill="1" applyBorder="1" applyAlignment="1">
      <alignment horizontal="center" vertical="center"/>
    </xf>
    <xf numFmtId="3" fontId="1" fillId="9" borderId="12" xfId="0" applyNumberFormat="1" applyFont="1" applyFill="1" applyBorder="1" applyAlignment="1">
      <alignment horizontal="center" vertical="center"/>
    </xf>
    <xf numFmtId="3" fontId="1" fillId="2" borderId="13" xfId="0" applyNumberFormat="1" applyFont="1" applyFill="1" applyBorder="1" applyAlignment="1">
      <alignment horizontal="center" vertical="center"/>
    </xf>
    <xf numFmtId="3" fontId="1" fillId="9" borderId="16" xfId="0" applyNumberFormat="1" applyFont="1" applyFill="1" applyBorder="1" applyAlignment="1">
      <alignment horizontal="center" vertical="center"/>
    </xf>
    <xf numFmtId="3" fontId="1" fillId="9" borderId="13" xfId="0" applyNumberFormat="1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6AC1-8F11-E04D-83B6-135AF297A810}">
  <dimension ref="A1:R47"/>
  <sheetViews>
    <sheetView tabSelected="1" workbookViewId="0">
      <selection activeCell="H9" sqref="H9"/>
    </sheetView>
  </sheetViews>
  <sheetFormatPr baseColWidth="10" defaultRowHeight="16" x14ac:dyDescent="0.2"/>
  <cols>
    <col min="1" max="1" width="26.83203125" bestFit="1" customWidth="1"/>
    <col min="2" max="2" width="16.33203125" customWidth="1"/>
    <col min="3" max="3" width="18.5" bestFit="1" customWidth="1"/>
    <col min="4" max="4" width="16.83203125" customWidth="1"/>
    <col min="5" max="5" width="28" bestFit="1" customWidth="1"/>
    <col min="6" max="6" width="28.1640625" bestFit="1" customWidth="1"/>
    <col min="7" max="7" width="28.5" bestFit="1" customWidth="1"/>
    <col min="8" max="8" width="22.5" bestFit="1" customWidth="1"/>
    <col min="9" max="9" width="20.83203125" bestFit="1" customWidth="1"/>
    <col min="10" max="10" width="19.5" bestFit="1" customWidth="1"/>
    <col min="11" max="11" width="18.33203125" bestFit="1" customWidth="1"/>
    <col min="12" max="12" width="22.1640625" bestFit="1" customWidth="1"/>
    <col min="13" max="15" width="14.5" bestFit="1" customWidth="1"/>
    <col min="16" max="18" width="14.6640625" bestFit="1" customWidth="1"/>
  </cols>
  <sheetData>
    <row r="1" spans="1:18" ht="17" thickBot="1" x14ac:dyDescent="0.25"/>
    <row r="2" spans="1:18" ht="41" thickBot="1" x14ac:dyDescent="0.25">
      <c r="A2" s="1" t="s">
        <v>0</v>
      </c>
      <c r="B2" s="2"/>
      <c r="C2" s="3" t="s">
        <v>1</v>
      </c>
      <c r="D2" s="4" t="s">
        <v>2</v>
      </c>
      <c r="E2" s="5"/>
      <c r="F2" s="6"/>
      <c r="G2" s="6"/>
      <c r="H2" s="7" t="s">
        <v>3</v>
      </c>
      <c r="I2" s="4" t="s">
        <v>4</v>
      </c>
      <c r="J2" s="8" t="s">
        <v>5</v>
      </c>
      <c r="K2" s="9" t="s">
        <v>6</v>
      </c>
      <c r="L2" s="10"/>
      <c r="M2" s="10"/>
      <c r="N2" s="10"/>
      <c r="O2" s="10"/>
      <c r="P2" s="10"/>
      <c r="Q2" s="10"/>
      <c r="R2" s="11"/>
    </row>
    <row r="3" spans="1:18" ht="22" thickBot="1" x14ac:dyDescent="0.3">
      <c r="A3" s="12" t="s">
        <v>7</v>
      </c>
      <c r="B3" s="13"/>
      <c r="C3" s="14" t="s">
        <v>8</v>
      </c>
      <c r="D3" s="15" t="s">
        <v>9</v>
      </c>
      <c r="E3" s="16" t="s">
        <v>9</v>
      </c>
      <c r="F3" s="17"/>
      <c r="G3" s="18" t="s">
        <v>10</v>
      </c>
      <c r="H3" s="19"/>
      <c r="I3" s="15" t="s">
        <v>9</v>
      </c>
      <c r="J3" s="20" t="s">
        <v>9</v>
      </c>
      <c r="K3" s="20" t="s">
        <v>11</v>
      </c>
      <c r="L3" s="21" t="s">
        <v>12</v>
      </c>
      <c r="M3" s="21" t="s">
        <v>13</v>
      </c>
      <c r="N3" s="21" t="s">
        <v>13</v>
      </c>
      <c r="O3" s="22" t="s">
        <v>13</v>
      </c>
      <c r="P3" s="22" t="s">
        <v>14</v>
      </c>
      <c r="Q3" s="22" t="s">
        <v>15</v>
      </c>
      <c r="R3" s="22" t="s">
        <v>16</v>
      </c>
    </row>
    <row r="4" spans="1:18" ht="22" thickBot="1" x14ac:dyDescent="0.25">
      <c r="A4" s="23" t="s">
        <v>17</v>
      </c>
      <c r="B4" s="24" t="s">
        <v>18</v>
      </c>
      <c r="C4" s="25" t="s">
        <v>19</v>
      </c>
      <c r="D4" s="26" t="s">
        <v>20</v>
      </c>
      <c r="E4" s="27" t="s">
        <v>21</v>
      </c>
      <c r="F4" s="28" t="s">
        <v>22</v>
      </c>
      <c r="G4" s="29" t="s">
        <v>23</v>
      </c>
      <c r="H4" s="30" t="s">
        <v>24</v>
      </c>
      <c r="I4" s="26" t="s">
        <v>25</v>
      </c>
      <c r="J4" s="21" t="s">
        <v>26</v>
      </c>
      <c r="K4" s="31" t="s">
        <v>6</v>
      </c>
      <c r="L4" s="31" t="s">
        <v>27</v>
      </c>
      <c r="M4" s="31" t="s">
        <v>28</v>
      </c>
      <c r="N4" s="32" t="s">
        <v>29</v>
      </c>
      <c r="O4" s="33" t="s">
        <v>30</v>
      </c>
      <c r="P4" s="33" t="s">
        <v>31</v>
      </c>
      <c r="Q4" s="33" t="s">
        <v>31</v>
      </c>
      <c r="R4" s="33" t="s">
        <v>31</v>
      </c>
    </row>
    <row r="5" spans="1:18" ht="19" x14ac:dyDescent="0.25">
      <c r="A5" s="34" t="s">
        <v>32</v>
      </c>
      <c r="B5" s="35">
        <v>72893175</v>
      </c>
      <c r="C5" s="35">
        <v>34435532</v>
      </c>
      <c r="D5" s="36">
        <v>24223948</v>
      </c>
      <c r="E5" s="37">
        <v>6951741</v>
      </c>
      <c r="F5" s="35">
        <v>6932858</v>
      </c>
      <c r="G5" s="38">
        <v>5278202</v>
      </c>
      <c r="H5" s="36">
        <v>5278202</v>
      </c>
      <c r="I5" s="36">
        <v>3527040</v>
      </c>
      <c r="J5" s="39">
        <v>3527040</v>
      </c>
      <c r="K5" s="40" t="s">
        <v>33</v>
      </c>
      <c r="L5" s="40">
        <v>47154</v>
      </c>
      <c r="M5" s="41">
        <v>36825</v>
      </c>
      <c r="N5" s="42">
        <v>1103</v>
      </c>
      <c r="O5" s="42">
        <v>6018</v>
      </c>
      <c r="P5" s="43">
        <f>M5/M26*100</f>
        <v>136.81961731376555</v>
      </c>
      <c r="Q5" s="43">
        <f>N5/N26*100</f>
        <v>197.31663685152057</v>
      </c>
      <c r="R5" s="43">
        <f>O5/O26*100</f>
        <v>158.82818685669042</v>
      </c>
    </row>
    <row r="6" spans="1:18" ht="19" x14ac:dyDescent="0.25">
      <c r="A6" s="44" t="s">
        <v>34</v>
      </c>
      <c r="B6" s="45">
        <v>36347753</v>
      </c>
      <c r="C6" s="45">
        <v>21196395</v>
      </c>
      <c r="D6" s="46">
        <v>14670606</v>
      </c>
      <c r="E6" s="47">
        <v>4726084</v>
      </c>
      <c r="F6" s="45">
        <v>4714890</v>
      </c>
      <c r="G6" s="48">
        <v>3958802</v>
      </c>
      <c r="H6" s="46">
        <v>3958802</v>
      </c>
      <c r="I6" s="46">
        <v>2501418</v>
      </c>
      <c r="J6" s="49">
        <v>2501418</v>
      </c>
      <c r="K6" s="50"/>
      <c r="L6" s="50"/>
      <c r="M6" s="51"/>
      <c r="N6" s="52"/>
      <c r="O6" s="52"/>
      <c r="P6" s="53"/>
      <c r="Q6" s="53"/>
      <c r="R6" s="53"/>
    </row>
    <row r="7" spans="1:18" ht="20" thickBot="1" x14ac:dyDescent="0.3">
      <c r="A7" s="54" t="s">
        <v>35</v>
      </c>
      <c r="B7" s="55">
        <v>299980485</v>
      </c>
      <c r="C7" s="55">
        <v>135068375</v>
      </c>
      <c r="D7" s="56">
        <v>91730270</v>
      </c>
      <c r="E7" s="57">
        <v>32833316</v>
      </c>
      <c r="F7" s="55">
        <v>32798663</v>
      </c>
      <c r="G7" s="58">
        <v>29018478</v>
      </c>
      <c r="H7" s="56">
        <v>29018478</v>
      </c>
      <c r="I7" s="56">
        <v>14940320</v>
      </c>
      <c r="J7" s="59">
        <v>14940320</v>
      </c>
      <c r="K7" s="60"/>
      <c r="L7" s="60"/>
      <c r="M7" s="61"/>
      <c r="N7" s="62"/>
      <c r="O7" s="62"/>
      <c r="P7" s="63"/>
      <c r="Q7" s="63"/>
      <c r="R7" s="63"/>
    </row>
    <row r="8" spans="1:18" ht="19" x14ac:dyDescent="0.25">
      <c r="A8" s="64" t="s">
        <v>36</v>
      </c>
      <c r="B8" s="65">
        <v>74717425</v>
      </c>
      <c r="C8" s="65">
        <v>40199277</v>
      </c>
      <c r="D8" s="66">
        <v>28965420</v>
      </c>
      <c r="E8" s="67">
        <v>5218014</v>
      </c>
      <c r="F8" s="65">
        <v>5187451</v>
      </c>
      <c r="G8" s="68">
        <v>2955219</v>
      </c>
      <c r="H8" s="66">
        <v>2955219</v>
      </c>
      <c r="I8" s="66">
        <v>1776954</v>
      </c>
      <c r="J8" s="69">
        <v>1776954</v>
      </c>
      <c r="K8" s="70" t="s">
        <v>37</v>
      </c>
      <c r="L8" s="70">
        <v>12288</v>
      </c>
      <c r="M8" s="71">
        <v>24727</v>
      </c>
      <c r="N8" s="72">
        <v>461</v>
      </c>
      <c r="O8" s="72">
        <v>4350</v>
      </c>
      <c r="P8" s="43">
        <f t="shared" ref="P8:R8" si="0">M8/M29*100</f>
        <v>37.884753864775007</v>
      </c>
      <c r="Q8" s="43">
        <f t="shared" si="0"/>
        <v>42.804085422469825</v>
      </c>
      <c r="R8" s="43">
        <f t="shared" si="0"/>
        <v>36.000993130844989</v>
      </c>
    </row>
    <row r="9" spans="1:18" ht="19" x14ac:dyDescent="0.25">
      <c r="A9" s="34" t="s">
        <v>38</v>
      </c>
      <c r="B9" s="35">
        <v>74463146</v>
      </c>
      <c r="C9" s="35">
        <v>20975939</v>
      </c>
      <c r="D9" s="36">
        <v>15426158</v>
      </c>
      <c r="E9" s="37">
        <v>3116924</v>
      </c>
      <c r="F9" s="35">
        <v>3107139</v>
      </c>
      <c r="G9" s="38">
        <v>2423433</v>
      </c>
      <c r="H9" s="36">
        <v>2423433</v>
      </c>
      <c r="I9" s="36">
        <v>1445854</v>
      </c>
      <c r="J9" s="39">
        <v>1445854</v>
      </c>
      <c r="K9" s="73"/>
      <c r="L9" s="73"/>
      <c r="M9" s="74"/>
      <c r="N9" s="75"/>
      <c r="O9" s="75"/>
      <c r="P9" s="53"/>
      <c r="Q9" s="53"/>
      <c r="R9" s="53"/>
    </row>
    <row r="10" spans="1:18" ht="20" thickBot="1" x14ac:dyDescent="0.3">
      <c r="A10" s="76" t="s">
        <v>39</v>
      </c>
      <c r="B10" s="77">
        <v>146766792</v>
      </c>
      <c r="C10" s="77">
        <v>59666006</v>
      </c>
      <c r="D10" s="78">
        <v>46250817</v>
      </c>
      <c r="E10" s="79">
        <v>7565232</v>
      </c>
      <c r="F10" s="77">
        <v>7543578</v>
      </c>
      <c r="G10" s="80">
        <v>6022868</v>
      </c>
      <c r="H10" s="78">
        <v>6022868</v>
      </c>
      <c r="I10" s="78">
        <v>3903620</v>
      </c>
      <c r="J10" s="81">
        <v>3903620</v>
      </c>
      <c r="K10" s="82"/>
      <c r="L10" s="82"/>
      <c r="M10" s="83"/>
      <c r="N10" s="84"/>
      <c r="O10" s="84"/>
      <c r="P10" s="63"/>
      <c r="Q10" s="63"/>
      <c r="R10" s="63"/>
    </row>
    <row r="11" spans="1:18" ht="19" x14ac:dyDescent="0.25">
      <c r="A11" s="85" t="s">
        <v>40</v>
      </c>
      <c r="B11" s="86">
        <v>101748731</v>
      </c>
      <c r="C11" s="86">
        <v>43284971</v>
      </c>
      <c r="D11" s="87">
        <v>31775471</v>
      </c>
      <c r="E11" s="88">
        <v>6180966</v>
      </c>
      <c r="F11" s="86">
        <v>6155094</v>
      </c>
      <c r="G11" s="89">
        <v>4208065</v>
      </c>
      <c r="H11" s="87">
        <v>4208065</v>
      </c>
      <c r="I11" s="87">
        <v>2514283</v>
      </c>
      <c r="J11" s="90">
        <v>2514283</v>
      </c>
      <c r="K11" s="40" t="s">
        <v>41</v>
      </c>
      <c r="L11" s="40">
        <v>10918</v>
      </c>
      <c r="M11" s="41">
        <v>23420</v>
      </c>
      <c r="N11" s="42">
        <v>475</v>
      </c>
      <c r="O11" s="42">
        <v>3974</v>
      </c>
      <c r="P11" s="43">
        <f t="shared" ref="P11:R11" si="1">M11/M32*100</f>
        <v>29.173621664715117</v>
      </c>
      <c r="Q11" s="43">
        <f t="shared" si="1"/>
        <v>45.717035611164583</v>
      </c>
      <c r="R11" s="43">
        <f t="shared" si="1"/>
        <v>24.493066255778121</v>
      </c>
    </row>
    <row r="12" spans="1:18" ht="19" x14ac:dyDescent="0.25">
      <c r="A12" s="44" t="s">
        <v>42</v>
      </c>
      <c r="B12" s="45">
        <v>46038551</v>
      </c>
      <c r="C12" s="45">
        <v>16466375</v>
      </c>
      <c r="D12" s="46">
        <v>12499552</v>
      </c>
      <c r="E12" s="47">
        <v>2473027</v>
      </c>
      <c r="F12" s="45">
        <v>2468346</v>
      </c>
      <c r="G12" s="48">
        <v>2086145</v>
      </c>
      <c r="H12" s="46">
        <v>2086145</v>
      </c>
      <c r="I12" s="46">
        <v>1297112</v>
      </c>
      <c r="J12" s="49">
        <v>1297112</v>
      </c>
      <c r="K12" s="50"/>
      <c r="L12" s="50"/>
      <c r="M12" s="51"/>
      <c r="N12" s="52"/>
      <c r="O12" s="52"/>
      <c r="P12" s="53"/>
      <c r="Q12" s="53"/>
      <c r="R12" s="53"/>
    </row>
    <row r="13" spans="1:18" ht="20" thickBot="1" x14ac:dyDescent="0.3">
      <c r="A13" s="54" t="s">
        <v>43</v>
      </c>
      <c r="B13" s="55">
        <v>79762861</v>
      </c>
      <c r="C13" s="55">
        <v>41820026</v>
      </c>
      <c r="D13" s="56">
        <v>30367027</v>
      </c>
      <c r="E13" s="57">
        <v>7439963</v>
      </c>
      <c r="F13" s="55">
        <v>7420336</v>
      </c>
      <c r="G13" s="58">
        <v>6148129</v>
      </c>
      <c r="H13" s="56">
        <v>6148129</v>
      </c>
      <c r="I13" s="56">
        <v>3322805</v>
      </c>
      <c r="J13" s="59">
        <v>3322805</v>
      </c>
      <c r="K13" s="60"/>
      <c r="L13" s="60"/>
      <c r="M13" s="61"/>
      <c r="N13" s="62"/>
      <c r="O13" s="62"/>
      <c r="P13" s="63"/>
      <c r="Q13" s="63"/>
      <c r="R13" s="63"/>
    </row>
    <row r="14" spans="1:18" ht="19" x14ac:dyDescent="0.25">
      <c r="A14" s="64" t="s">
        <v>44</v>
      </c>
      <c r="B14" s="65">
        <v>79517230</v>
      </c>
      <c r="C14" s="65">
        <v>40748075</v>
      </c>
      <c r="D14" s="66">
        <v>27498072</v>
      </c>
      <c r="E14" s="67">
        <v>8089130</v>
      </c>
      <c r="F14" s="65">
        <v>8055562</v>
      </c>
      <c r="G14" s="68">
        <v>5901050</v>
      </c>
      <c r="H14" s="66">
        <v>5901050</v>
      </c>
      <c r="I14" s="66">
        <v>3542221</v>
      </c>
      <c r="J14" s="69">
        <v>3542221</v>
      </c>
      <c r="K14" s="70" t="s">
        <v>45</v>
      </c>
      <c r="L14" s="70">
        <v>11493</v>
      </c>
      <c r="M14" s="71">
        <v>23082</v>
      </c>
      <c r="N14" s="72">
        <v>654</v>
      </c>
      <c r="O14" s="72">
        <v>3577</v>
      </c>
      <c r="P14" s="43">
        <f t="shared" ref="P14:R14" si="2">M14/M35*100</f>
        <v>49.68786326258234</v>
      </c>
      <c r="Q14" s="43">
        <f t="shared" si="2"/>
        <v>80.641183723797781</v>
      </c>
      <c r="R14" s="43">
        <f t="shared" si="2"/>
        <v>51.653429602888089</v>
      </c>
    </row>
    <row r="15" spans="1:18" ht="19" x14ac:dyDescent="0.25">
      <c r="A15" s="34" t="s">
        <v>46</v>
      </c>
      <c r="B15" s="35">
        <v>63353583</v>
      </c>
      <c r="C15" s="35">
        <v>32238256</v>
      </c>
      <c r="D15" s="36">
        <v>21531353</v>
      </c>
      <c r="E15" s="37">
        <v>7799533</v>
      </c>
      <c r="F15" s="35">
        <v>7782340</v>
      </c>
      <c r="G15" s="38">
        <v>6667246</v>
      </c>
      <c r="H15" s="36">
        <v>6667246</v>
      </c>
      <c r="I15" s="36">
        <v>3925869</v>
      </c>
      <c r="J15" s="39">
        <v>3925869</v>
      </c>
      <c r="K15" s="73"/>
      <c r="L15" s="73"/>
      <c r="M15" s="74"/>
      <c r="N15" s="75"/>
      <c r="O15" s="75"/>
      <c r="P15" s="53"/>
      <c r="Q15" s="53"/>
      <c r="R15" s="53"/>
    </row>
    <row r="16" spans="1:18" ht="20" thickBot="1" x14ac:dyDescent="0.3">
      <c r="A16" s="76" t="s">
        <v>47</v>
      </c>
      <c r="B16" s="77">
        <v>43124550</v>
      </c>
      <c r="C16" s="77">
        <v>17668817</v>
      </c>
      <c r="D16" s="78">
        <v>12560471</v>
      </c>
      <c r="E16" s="79">
        <v>3409449</v>
      </c>
      <c r="F16" s="77">
        <v>3398106</v>
      </c>
      <c r="G16" s="80">
        <v>2787077</v>
      </c>
      <c r="H16" s="78">
        <v>2787077</v>
      </c>
      <c r="I16" s="78">
        <v>1780746</v>
      </c>
      <c r="J16" s="81">
        <v>1780746</v>
      </c>
      <c r="K16" s="82"/>
      <c r="L16" s="82"/>
      <c r="M16" s="83"/>
      <c r="N16" s="84"/>
      <c r="O16" s="84"/>
      <c r="P16" s="63"/>
      <c r="Q16" s="63"/>
      <c r="R16" s="63"/>
    </row>
    <row r="17" spans="1:18" ht="19" x14ac:dyDescent="0.25">
      <c r="A17" s="85" t="s">
        <v>48</v>
      </c>
      <c r="B17" s="86">
        <v>85780731</v>
      </c>
      <c r="C17" s="86">
        <v>47243212</v>
      </c>
      <c r="D17" s="87">
        <v>35402686</v>
      </c>
      <c r="E17" s="88">
        <v>6870769</v>
      </c>
      <c r="F17" s="86">
        <v>6844004</v>
      </c>
      <c r="G17" s="89">
        <v>4939955</v>
      </c>
      <c r="H17" s="87">
        <v>4939955</v>
      </c>
      <c r="I17" s="87">
        <v>3209130</v>
      </c>
      <c r="J17" s="90">
        <v>3209130</v>
      </c>
      <c r="K17" s="40" t="s">
        <v>49</v>
      </c>
      <c r="L17" s="40">
        <v>18959</v>
      </c>
      <c r="M17" s="41">
        <v>43481</v>
      </c>
      <c r="N17" s="42">
        <v>744</v>
      </c>
      <c r="O17" s="42">
        <v>8113</v>
      </c>
      <c r="P17" s="43">
        <f t="shared" ref="P17:R17" si="3">M17/M38*100</f>
        <v>74.42827798699075</v>
      </c>
      <c r="Q17" s="43">
        <f t="shared" si="3"/>
        <v>80.432432432432435</v>
      </c>
      <c r="R17" s="43">
        <f t="shared" si="3"/>
        <v>78.024620119253711</v>
      </c>
    </row>
    <row r="18" spans="1:18" ht="19" x14ac:dyDescent="0.25">
      <c r="A18" s="44" t="s">
        <v>50</v>
      </c>
      <c r="B18" s="45">
        <v>105420357</v>
      </c>
      <c r="C18" s="45">
        <v>40870263</v>
      </c>
      <c r="D18" s="46">
        <v>30876588</v>
      </c>
      <c r="E18" s="47">
        <v>6233559</v>
      </c>
      <c r="F18" s="45">
        <v>6218493</v>
      </c>
      <c r="G18" s="48">
        <v>5317123</v>
      </c>
      <c r="H18" s="46">
        <v>5317123</v>
      </c>
      <c r="I18" s="46">
        <v>3574222</v>
      </c>
      <c r="J18" s="49">
        <v>3574222</v>
      </c>
      <c r="K18" s="50"/>
      <c r="L18" s="50"/>
      <c r="M18" s="51"/>
      <c r="N18" s="52"/>
      <c r="O18" s="52"/>
      <c r="P18" s="53"/>
      <c r="Q18" s="53"/>
      <c r="R18" s="53"/>
    </row>
    <row r="19" spans="1:18" ht="20" thickBot="1" x14ac:dyDescent="0.3">
      <c r="A19" s="54" t="s">
        <v>51</v>
      </c>
      <c r="B19" s="55">
        <v>66267798</v>
      </c>
      <c r="C19" s="55">
        <v>34395494</v>
      </c>
      <c r="D19" s="56">
        <v>24543459</v>
      </c>
      <c r="E19" s="57">
        <v>6378614</v>
      </c>
      <c r="F19" s="55">
        <v>6363605</v>
      </c>
      <c r="G19" s="58">
        <v>5267161</v>
      </c>
      <c r="H19" s="56">
        <v>5267161</v>
      </c>
      <c r="I19" s="56">
        <v>3297396</v>
      </c>
      <c r="J19" s="59">
        <v>3297396</v>
      </c>
      <c r="K19" s="60"/>
      <c r="L19" s="60"/>
      <c r="M19" s="61"/>
      <c r="N19" s="62"/>
      <c r="O19" s="62"/>
      <c r="P19" s="63"/>
      <c r="Q19" s="63"/>
      <c r="R19" s="63"/>
    </row>
    <row r="20" spans="1:18" ht="19" x14ac:dyDescent="0.25">
      <c r="A20" s="64" t="s">
        <v>52</v>
      </c>
      <c r="B20" s="65">
        <v>85078282</v>
      </c>
      <c r="C20" s="65">
        <v>45607613</v>
      </c>
      <c r="D20" s="66">
        <v>31947176</v>
      </c>
      <c r="E20" s="67">
        <v>8554004</v>
      </c>
      <c r="F20" s="65">
        <v>8516766</v>
      </c>
      <c r="G20" s="68">
        <v>6609018</v>
      </c>
      <c r="H20" s="66">
        <v>6609018</v>
      </c>
      <c r="I20" s="66">
        <v>3950017</v>
      </c>
      <c r="J20" s="69">
        <v>3950017</v>
      </c>
      <c r="K20" s="70" t="s">
        <v>53</v>
      </c>
      <c r="L20" s="70">
        <v>16206</v>
      </c>
      <c r="M20" s="71">
        <v>25728</v>
      </c>
      <c r="N20" s="72">
        <v>380</v>
      </c>
      <c r="O20" s="72">
        <v>3617</v>
      </c>
      <c r="P20" s="43">
        <f t="shared" ref="P20:R20" si="4">M20/M41*100</f>
        <v>42.157007324386768</v>
      </c>
      <c r="Q20" s="43">
        <f t="shared" si="4"/>
        <v>34.172661870503596</v>
      </c>
      <c r="R20" s="43">
        <f t="shared" si="4"/>
        <v>30.476912706437481</v>
      </c>
    </row>
    <row r="21" spans="1:18" ht="19" x14ac:dyDescent="0.25">
      <c r="A21" s="34" t="s">
        <v>54</v>
      </c>
      <c r="B21" s="35">
        <v>74413493</v>
      </c>
      <c r="C21" s="35">
        <v>44717147</v>
      </c>
      <c r="D21" s="36">
        <v>31147554</v>
      </c>
      <c r="E21" s="37">
        <v>7530658</v>
      </c>
      <c r="F21" s="35">
        <v>7491391</v>
      </c>
      <c r="G21" s="38">
        <v>5258991</v>
      </c>
      <c r="H21" s="36">
        <v>5258991</v>
      </c>
      <c r="I21" s="36">
        <v>2819760</v>
      </c>
      <c r="J21" s="39">
        <v>2819760</v>
      </c>
      <c r="K21" s="73"/>
      <c r="L21" s="73"/>
      <c r="M21" s="74"/>
      <c r="N21" s="75"/>
      <c r="O21" s="75"/>
      <c r="P21" s="53"/>
      <c r="Q21" s="53"/>
      <c r="R21" s="53"/>
    </row>
    <row r="22" spans="1:18" ht="20" thickBot="1" x14ac:dyDescent="0.3">
      <c r="A22" s="76" t="s">
        <v>55</v>
      </c>
      <c r="B22" s="77">
        <v>56962346</v>
      </c>
      <c r="C22" s="77">
        <v>32079579</v>
      </c>
      <c r="D22" s="78">
        <v>22375805</v>
      </c>
      <c r="E22" s="79">
        <v>7063962</v>
      </c>
      <c r="F22" s="77">
        <v>7045858</v>
      </c>
      <c r="G22" s="80">
        <v>6109632</v>
      </c>
      <c r="H22" s="78">
        <v>6109632</v>
      </c>
      <c r="I22" s="78">
        <v>3453710</v>
      </c>
      <c r="J22" s="81">
        <v>3453710</v>
      </c>
      <c r="K22" s="82"/>
      <c r="L22" s="82"/>
      <c r="M22" s="83"/>
      <c r="N22" s="84"/>
      <c r="O22" s="84"/>
      <c r="P22" s="63"/>
      <c r="Q22" s="63"/>
      <c r="R22" s="63"/>
    </row>
    <row r="23" spans="1:18" ht="19" x14ac:dyDescent="0.25">
      <c r="A23" s="85" t="s">
        <v>56</v>
      </c>
      <c r="B23" s="86">
        <v>134960683</v>
      </c>
      <c r="C23" s="86">
        <v>67620642</v>
      </c>
      <c r="D23" s="87">
        <v>46871399</v>
      </c>
      <c r="E23" s="88">
        <v>11401416</v>
      </c>
      <c r="F23" s="86">
        <v>11343513</v>
      </c>
      <c r="G23" s="89">
        <v>6712243</v>
      </c>
      <c r="H23" s="87">
        <v>6712243</v>
      </c>
      <c r="I23" s="87">
        <v>3749047</v>
      </c>
      <c r="J23" s="90">
        <v>3749047</v>
      </c>
      <c r="K23" s="40" t="s">
        <v>57</v>
      </c>
      <c r="L23" s="40">
        <v>19640</v>
      </c>
      <c r="M23" s="41">
        <v>19722</v>
      </c>
      <c r="N23" s="42">
        <v>315</v>
      </c>
      <c r="O23" s="42">
        <v>2999</v>
      </c>
      <c r="P23" s="43">
        <f t="shared" ref="P23:R23" si="5">M23/M44*100</f>
        <v>23.459022243368622</v>
      </c>
      <c r="Q23" s="43">
        <f t="shared" si="5"/>
        <v>23.472429210134127</v>
      </c>
      <c r="R23" s="43">
        <f t="shared" si="5"/>
        <v>19.127495375980612</v>
      </c>
    </row>
    <row r="24" spans="1:18" ht="19" x14ac:dyDescent="0.25">
      <c r="A24" s="44" t="s">
        <v>58</v>
      </c>
      <c r="B24" s="45">
        <v>50965235</v>
      </c>
      <c r="C24" s="45">
        <v>18584234</v>
      </c>
      <c r="D24" s="46">
        <v>12792630</v>
      </c>
      <c r="E24" s="47">
        <v>3543815</v>
      </c>
      <c r="F24" s="45">
        <v>3535263</v>
      </c>
      <c r="G24" s="48">
        <v>2608666</v>
      </c>
      <c r="H24" s="46">
        <v>2608666</v>
      </c>
      <c r="I24" s="46">
        <v>1622258</v>
      </c>
      <c r="J24" s="49">
        <v>1622258</v>
      </c>
      <c r="K24" s="50"/>
      <c r="L24" s="50"/>
      <c r="M24" s="51"/>
      <c r="N24" s="52"/>
      <c r="O24" s="52"/>
      <c r="P24" s="53"/>
      <c r="Q24" s="53"/>
      <c r="R24" s="53"/>
    </row>
    <row r="25" spans="1:18" ht="20" thickBot="1" x14ac:dyDescent="0.3">
      <c r="A25" s="91" t="s">
        <v>59</v>
      </c>
      <c r="B25" s="92">
        <v>29012200</v>
      </c>
      <c r="C25" s="92">
        <v>7094123</v>
      </c>
      <c r="D25" s="93">
        <v>5055633</v>
      </c>
      <c r="E25" s="94">
        <v>1218184</v>
      </c>
      <c r="F25" s="92">
        <v>1214198</v>
      </c>
      <c r="G25" s="95">
        <v>923121</v>
      </c>
      <c r="H25" s="93">
        <v>923121</v>
      </c>
      <c r="I25" s="93">
        <v>602577</v>
      </c>
      <c r="J25" s="96">
        <v>602577</v>
      </c>
      <c r="K25" s="97"/>
      <c r="L25" s="97"/>
      <c r="M25" s="98"/>
      <c r="N25" s="99"/>
      <c r="O25" s="99"/>
      <c r="P25" s="100"/>
      <c r="Q25" s="100"/>
      <c r="R25" s="100"/>
    </row>
    <row r="26" spans="1:18" ht="20" thickTop="1" x14ac:dyDescent="0.25">
      <c r="A26" s="64" t="s">
        <v>60</v>
      </c>
      <c r="B26" s="65">
        <v>53989600</v>
      </c>
      <c r="C26" s="65">
        <v>23139028</v>
      </c>
      <c r="D26" s="66">
        <v>16241648</v>
      </c>
      <c r="E26" s="67">
        <v>4755900</v>
      </c>
      <c r="F26" s="65">
        <v>4743355</v>
      </c>
      <c r="G26" s="68">
        <v>3816777</v>
      </c>
      <c r="H26" s="66">
        <v>3816777</v>
      </c>
      <c r="I26" s="66">
        <v>2543411</v>
      </c>
      <c r="J26" s="69">
        <v>2543411</v>
      </c>
      <c r="K26" s="73" t="s">
        <v>61</v>
      </c>
      <c r="L26" s="73">
        <v>51085</v>
      </c>
      <c r="M26" s="74">
        <v>26915</v>
      </c>
      <c r="N26" s="75">
        <v>559</v>
      </c>
      <c r="O26" s="75">
        <v>3789</v>
      </c>
      <c r="P26" s="101"/>
      <c r="Q26" s="102"/>
      <c r="R26" s="102"/>
    </row>
    <row r="27" spans="1:18" ht="19" x14ac:dyDescent="0.25">
      <c r="A27" s="34" t="s">
        <v>62</v>
      </c>
      <c r="B27" s="35">
        <v>110938345</v>
      </c>
      <c r="C27" s="35">
        <v>48828531</v>
      </c>
      <c r="D27" s="36">
        <v>35252178</v>
      </c>
      <c r="E27" s="37">
        <v>9976463</v>
      </c>
      <c r="F27" s="35">
        <v>9959679</v>
      </c>
      <c r="G27" s="38">
        <v>8098187</v>
      </c>
      <c r="H27" s="36">
        <v>8098187</v>
      </c>
      <c r="I27" s="36">
        <v>5574008</v>
      </c>
      <c r="J27" s="39">
        <v>5574008</v>
      </c>
      <c r="K27" s="73"/>
      <c r="L27" s="73"/>
      <c r="M27" s="74"/>
      <c r="N27" s="75"/>
      <c r="O27" s="75"/>
      <c r="P27" s="101"/>
      <c r="Q27" s="102"/>
      <c r="R27" s="102"/>
    </row>
    <row r="28" spans="1:18" ht="20" thickBot="1" x14ac:dyDescent="0.3">
      <c r="A28" s="76" t="s">
        <v>63</v>
      </c>
      <c r="B28" s="77">
        <v>70192979</v>
      </c>
      <c r="C28" s="77">
        <v>30295470</v>
      </c>
      <c r="D28" s="78">
        <v>19536453</v>
      </c>
      <c r="E28" s="79">
        <v>8231610</v>
      </c>
      <c r="F28" s="77">
        <v>8216471</v>
      </c>
      <c r="G28" s="80">
        <v>6700051</v>
      </c>
      <c r="H28" s="78">
        <v>6700051</v>
      </c>
      <c r="I28" s="78">
        <v>4552980</v>
      </c>
      <c r="J28" s="81">
        <v>4552980</v>
      </c>
      <c r="K28" s="82"/>
      <c r="L28" s="82"/>
      <c r="M28" s="83"/>
      <c r="N28" s="84"/>
      <c r="O28" s="84"/>
      <c r="P28" s="103"/>
      <c r="Q28" s="104"/>
      <c r="R28" s="104"/>
    </row>
    <row r="29" spans="1:18" ht="19" x14ac:dyDescent="0.25">
      <c r="A29" s="85" t="s">
        <v>64</v>
      </c>
      <c r="B29" s="86">
        <v>69812821</v>
      </c>
      <c r="C29" s="86">
        <v>40992962</v>
      </c>
      <c r="D29" s="87">
        <v>28595755</v>
      </c>
      <c r="E29" s="88">
        <v>7359014</v>
      </c>
      <c r="F29" s="86">
        <v>7331921</v>
      </c>
      <c r="G29" s="89">
        <v>5697275</v>
      </c>
      <c r="H29" s="87">
        <v>5697275</v>
      </c>
      <c r="I29" s="87">
        <v>3225577</v>
      </c>
      <c r="J29" s="90">
        <v>3225577</v>
      </c>
      <c r="K29" s="40" t="s">
        <v>65</v>
      </c>
      <c r="L29" s="40">
        <v>42018</v>
      </c>
      <c r="M29" s="41">
        <v>65269</v>
      </c>
      <c r="N29" s="42">
        <v>1077</v>
      </c>
      <c r="O29" s="42">
        <v>12083</v>
      </c>
      <c r="P29" s="105"/>
      <c r="Q29" s="106"/>
      <c r="R29" s="106"/>
    </row>
    <row r="30" spans="1:18" ht="19" x14ac:dyDescent="0.25">
      <c r="A30" s="44" t="s">
        <v>66</v>
      </c>
      <c r="B30" s="45">
        <v>64201867</v>
      </c>
      <c r="C30" s="45">
        <v>50013406</v>
      </c>
      <c r="D30" s="46">
        <v>35665486</v>
      </c>
      <c r="E30" s="47">
        <v>8201571</v>
      </c>
      <c r="F30" s="45">
        <v>8180177</v>
      </c>
      <c r="G30" s="48">
        <v>6181345</v>
      </c>
      <c r="H30" s="46">
        <v>6181345</v>
      </c>
      <c r="I30" s="46">
        <v>3848841</v>
      </c>
      <c r="J30" s="49">
        <v>3848841</v>
      </c>
      <c r="K30" s="50"/>
      <c r="L30" s="50"/>
      <c r="M30" s="51"/>
      <c r="N30" s="52"/>
      <c r="O30" s="52"/>
      <c r="P30" s="101"/>
      <c r="Q30" s="102"/>
      <c r="R30" s="102"/>
    </row>
    <row r="31" spans="1:18" ht="20" thickBot="1" x14ac:dyDescent="0.3">
      <c r="A31" s="54" t="s">
        <v>67</v>
      </c>
      <c r="B31" s="55">
        <v>144069978</v>
      </c>
      <c r="C31" s="55">
        <v>59059050</v>
      </c>
      <c r="D31" s="56">
        <v>46023463</v>
      </c>
      <c r="E31" s="57">
        <v>7062268</v>
      </c>
      <c r="F31" s="55">
        <v>7035839</v>
      </c>
      <c r="G31" s="58">
        <v>5566575</v>
      </c>
      <c r="H31" s="56">
        <v>5566575</v>
      </c>
      <c r="I31" s="56">
        <v>3876868</v>
      </c>
      <c r="J31" s="59">
        <v>3876868</v>
      </c>
      <c r="K31" s="60"/>
      <c r="L31" s="60"/>
      <c r="M31" s="61"/>
      <c r="N31" s="62"/>
      <c r="O31" s="62"/>
      <c r="P31" s="103"/>
      <c r="Q31" s="104"/>
      <c r="R31" s="104"/>
    </row>
    <row r="32" spans="1:18" ht="19" x14ac:dyDescent="0.25">
      <c r="A32" s="64" t="s">
        <v>68</v>
      </c>
      <c r="B32" s="65">
        <v>79808207</v>
      </c>
      <c r="C32" s="65">
        <v>53417138</v>
      </c>
      <c r="D32" s="66">
        <v>36905848</v>
      </c>
      <c r="E32" s="67">
        <v>11648000</v>
      </c>
      <c r="F32" s="65">
        <v>11626256</v>
      </c>
      <c r="G32" s="68">
        <v>9627178</v>
      </c>
      <c r="H32" s="66">
        <v>9627178</v>
      </c>
      <c r="I32" s="66">
        <v>6156495</v>
      </c>
      <c r="J32" s="69">
        <v>6156495</v>
      </c>
      <c r="K32" s="70" t="s">
        <v>69</v>
      </c>
      <c r="L32" s="70">
        <v>69985</v>
      </c>
      <c r="M32" s="71">
        <v>80278</v>
      </c>
      <c r="N32" s="72">
        <v>1039</v>
      </c>
      <c r="O32" s="72">
        <v>16225</v>
      </c>
      <c r="P32" s="105"/>
      <c r="Q32" s="106"/>
      <c r="R32" s="106"/>
    </row>
    <row r="33" spans="1:18" ht="19" x14ac:dyDescent="0.25">
      <c r="A33" s="34" t="s">
        <v>70</v>
      </c>
      <c r="B33" s="35">
        <v>79031954</v>
      </c>
      <c r="C33" s="35">
        <v>53159762</v>
      </c>
      <c r="D33" s="36">
        <v>33601389</v>
      </c>
      <c r="E33" s="37">
        <v>13997861</v>
      </c>
      <c r="F33" s="35">
        <v>13963564</v>
      </c>
      <c r="G33" s="38">
        <v>11973523</v>
      </c>
      <c r="H33" s="36">
        <v>11973523</v>
      </c>
      <c r="I33" s="36">
        <v>6074951</v>
      </c>
      <c r="J33" s="39">
        <v>6074951</v>
      </c>
      <c r="K33" s="73"/>
      <c r="L33" s="73"/>
      <c r="M33" s="74"/>
      <c r="N33" s="75"/>
      <c r="O33" s="75"/>
      <c r="P33" s="101"/>
      <c r="Q33" s="102"/>
      <c r="R33" s="102"/>
    </row>
    <row r="34" spans="1:18" ht="20" thickBot="1" x14ac:dyDescent="0.3">
      <c r="A34" s="76" t="s">
        <v>71</v>
      </c>
      <c r="B34" s="77">
        <v>94699298</v>
      </c>
      <c r="C34" s="77">
        <v>59338161</v>
      </c>
      <c r="D34" s="78">
        <v>44796859</v>
      </c>
      <c r="E34" s="79">
        <v>9324902</v>
      </c>
      <c r="F34" s="77">
        <v>9300584</v>
      </c>
      <c r="G34" s="80">
        <v>7840480</v>
      </c>
      <c r="H34" s="78">
        <v>7840480</v>
      </c>
      <c r="I34" s="78">
        <v>4838536</v>
      </c>
      <c r="J34" s="81">
        <v>4838536</v>
      </c>
      <c r="K34" s="82"/>
      <c r="L34" s="82"/>
      <c r="M34" s="83"/>
      <c r="N34" s="84"/>
      <c r="O34" s="84"/>
      <c r="P34" s="103"/>
      <c r="Q34" s="104"/>
      <c r="R34" s="104"/>
    </row>
    <row r="35" spans="1:18" ht="19" x14ac:dyDescent="0.25">
      <c r="A35" s="85" t="s">
        <v>72</v>
      </c>
      <c r="B35" s="86">
        <v>59599630</v>
      </c>
      <c r="C35" s="86">
        <v>38077422</v>
      </c>
      <c r="D35" s="87">
        <v>27162541</v>
      </c>
      <c r="E35" s="88">
        <v>6879989</v>
      </c>
      <c r="F35" s="86">
        <v>6856035</v>
      </c>
      <c r="G35" s="89">
        <v>5414329</v>
      </c>
      <c r="H35" s="87">
        <v>5414329</v>
      </c>
      <c r="I35" s="87">
        <v>3218470</v>
      </c>
      <c r="J35" s="90">
        <v>3218470</v>
      </c>
      <c r="K35" s="40" t="s">
        <v>73</v>
      </c>
      <c r="L35" s="40">
        <v>44128</v>
      </c>
      <c r="M35" s="41">
        <v>46454</v>
      </c>
      <c r="N35" s="42">
        <v>811</v>
      </c>
      <c r="O35" s="42">
        <v>6925</v>
      </c>
      <c r="P35" s="105"/>
      <c r="Q35" s="106"/>
      <c r="R35" s="106"/>
    </row>
    <row r="36" spans="1:18" ht="19" x14ac:dyDescent="0.25">
      <c r="A36" s="44" t="s">
        <v>74</v>
      </c>
      <c r="B36" s="45">
        <v>69558869</v>
      </c>
      <c r="C36" s="45">
        <v>40844207</v>
      </c>
      <c r="D36" s="46">
        <v>29605874</v>
      </c>
      <c r="E36" s="47">
        <v>7387997</v>
      </c>
      <c r="F36" s="45">
        <v>7353356</v>
      </c>
      <c r="G36" s="48">
        <v>5831603</v>
      </c>
      <c r="H36" s="46">
        <v>5831603</v>
      </c>
      <c r="I36" s="46">
        <v>3539122</v>
      </c>
      <c r="J36" s="49">
        <v>3539122</v>
      </c>
      <c r="K36" s="50"/>
      <c r="L36" s="50"/>
      <c r="M36" s="51"/>
      <c r="N36" s="52"/>
      <c r="O36" s="52"/>
      <c r="P36" s="101"/>
      <c r="Q36" s="102"/>
      <c r="R36" s="102"/>
    </row>
    <row r="37" spans="1:18" ht="20" thickBot="1" x14ac:dyDescent="0.3">
      <c r="A37" s="54" t="s">
        <v>75</v>
      </c>
      <c r="B37" s="55">
        <v>57035687</v>
      </c>
      <c r="C37" s="55">
        <v>35532686</v>
      </c>
      <c r="D37" s="56">
        <v>25397355</v>
      </c>
      <c r="E37" s="57">
        <v>6673447</v>
      </c>
      <c r="F37" s="55">
        <v>6653901</v>
      </c>
      <c r="G37" s="58">
        <v>5333518</v>
      </c>
      <c r="H37" s="56">
        <v>5333518</v>
      </c>
      <c r="I37" s="56">
        <v>3649562</v>
      </c>
      <c r="J37" s="59">
        <v>3649562</v>
      </c>
      <c r="K37" s="60"/>
      <c r="L37" s="60"/>
      <c r="M37" s="61"/>
      <c r="N37" s="62"/>
      <c r="O37" s="62"/>
      <c r="P37" s="103"/>
      <c r="Q37" s="104"/>
      <c r="R37" s="104"/>
    </row>
    <row r="38" spans="1:18" ht="19" x14ac:dyDescent="0.25">
      <c r="A38" s="64" t="s">
        <v>76</v>
      </c>
      <c r="B38" s="65">
        <v>58174591</v>
      </c>
      <c r="C38" s="65">
        <v>37939824</v>
      </c>
      <c r="D38" s="66">
        <v>26942657</v>
      </c>
      <c r="E38" s="67">
        <v>7330271</v>
      </c>
      <c r="F38" s="65">
        <v>7301645</v>
      </c>
      <c r="G38" s="68">
        <v>5971905</v>
      </c>
      <c r="H38" s="66">
        <v>5971905</v>
      </c>
      <c r="I38" s="66">
        <v>3801110</v>
      </c>
      <c r="J38" s="69">
        <v>3801110</v>
      </c>
      <c r="K38" s="70" t="s">
        <v>77</v>
      </c>
      <c r="L38" s="70">
        <v>53046</v>
      </c>
      <c r="M38" s="71">
        <v>58420</v>
      </c>
      <c r="N38" s="72">
        <v>925</v>
      </c>
      <c r="O38" s="72">
        <v>10398</v>
      </c>
      <c r="P38" s="105"/>
      <c r="Q38" s="106"/>
      <c r="R38" s="106"/>
    </row>
    <row r="39" spans="1:18" ht="19" x14ac:dyDescent="0.25">
      <c r="A39" s="34" t="s">
        <v>78</v>
      </c>
      <c r="B39" s="35">
        <v>53813639</v>
      </c>
      <c r="C39" s="35">
        <v>27912970</v>
      </c>
      <c r="D39" s="36">
        <v>20716557</v>
      </c>
      <c r="E39" s="37">
        <v>4638489</v>
      </c>
      <c r="F39" s="35">
        <v>4614605</v>
      </c>
      <c r="G39" s="38">
        <v>3717901</v>
      </c>
      <c r="H39" s="36">
        <v>3717901</v>
      </c>
      <c r="I39" s="36">
        <v>2484551</v>
      </c>
      <c r="J39" s="39">
        <v>2484551</v>
      </c>
      <c r="K39" s="73"/>
      <c r="L39" s="73"/>
      <c r="M39" s="74"/>
      <c r="N39" s="75"/>
      <c r="O39" s="75"/>
      <c r="P39" s="101"/>
      <c r="Q39" s="102"/>
      <c r="R39" s="102"/>
    </row>
    <row r="40" spans="1:18" ht="20" thickBot="1" x14ac:dyDescent="0.3">
      <c r="A40" s="76" t="s">
        <v>79</v>
      </c>
      <c r="B40" s="77">
        <v>102493786</v>
      </c>
      <c r="C40" s="77">
        <v>38424973</v>
      </c>
      <c r="D40" s="78">
        <v>25582488</v>
      </c>
      <c r="E40" s="79">
        <v>9775015</v>
      </c>
      <c r="F40" s="77">
        <v>9762971</v>
      </c>
      <c r="G40" s="80">
        <v>8190804</v>
      </c>
      <c r="H40" s="78">
        <v>8190804</v>
      </c>
      <c r="I40" s="78">
        <v>5811362</v>
      </c>
      <c r="J40" s="81">
        <v>5811362</v>
      </c>
      <c r="K40" s="82"/>
      <c r="L40" s="82"/>
      <c r="M40" s="83"/>
      <c r="N40" s="84"/>
      <c r="O40" s="84"/>
      <c r="P40" s="103"/>
      <c r="Q40" s="104"/>
      <c r="R40" s="104"/>
    </row>
    <row r="41" spans="1:18" ht="19" x14ac:dyDescent="0.25">
      <c r="A41" s="85" t="s">
        <v>80</v>
      </c>
      <c r="B41" s="86">
        <v>70065625</v>
      </c>
      <c r="C41" s="86">
        <v>35166163</v>
      </c>
      <c r="D41" s="87">
        <v>25622760</v>
      </c>
      <c r="E41" s="88">
        <v>6430600</v>
      </c>
      <c r="F41" s="86">
        <v>6406410</v>
      </c>
      <c r="G41" s="89">
        <v>5227121</v>
      </c>
      <c r="H41" s="87">
        <v>5227121</v>
      </c>
      <c r="I41" s="87">
        <v>3612048</v>
      </c>
      <c r="J41" s="90">
        <v>3612048</v>
      </c>
      <c r="K41" s="40" t="s">
        <v>81</v>
      </c>
      <c r="L41" s="40">
        <v>42004</v>
      </c>
      <c r="M41" s="41">
        <v>61029</v>
      </c>
      <c r="N41" s="42">
        <v>1112</v>
      </c>
      <c r="O41" s="42">
        <v>11868</v>
      </c>
      <c r="P41" s="105"/>
      <c r="Q41" s="106"/>
      <c r="R41" s="106"/>
    </row>
    <row r="42" spans="1:18" ht="19" x14ac:dyDescent="0.25">
      <c r="A42" s="44" t="s">
        <v>82</v>
      </c>
      <c r="B42" s="45">
        <v>94861327</v>
      </c>
      <c r="C42" s="45">
        <v>62929151</v>
      </c>
      <c r="D42" s="46">
        <v>46671915</v>
      </c>
      <c r="E42" s="47">
        <v>10471709</v>
      </c>
      <c r="F42" s="45">
        <v>10424295</v>
      </c>
      <c r="G42" s="48">
        <v>8157557</v>
      </c>
      <c r="H42" s="46">
        <v>8157557</v>
      </c>
      <c r="I42" s="46">
        <v>5312036</v>
      </c>
      <c r="J42" s="49">
        <v>5312036</v>
      </c>
      <c r="K42" s="50"/>
      <c r="L42" s="50"/>
      <c r="M42" s="51"/>
      <c r="N42" s="52"/>
      <c r="O42" s="52"/>
      <c r="P42" s="101"/>
      <c r="Q42" s="102"/>
      <c r="R42" s="102"/>
    </row>
    <row r="43" spans="1:18" ht="20" thickBot="1" x14ac:dyDescent="0.3">
      <c r="A43" s="54" t="s">
        <v>83</v>
      </c>
      <c r="B43" s="55">
        <v>51948197</v>
      </c>
      <c r="C43" s="55">
        <v>32983106</v>
      </c>
      <c r="D43" s="56">
        <v>24805654</v>
      </c>
      <c r="E43" s="57">
        <v>4863470</v>
      </c>
      <c r="F43" s="55">
        <v>4820951</v>
      </c>
      <c r="G43" s="58">
        <v>3754988</v>
      </c>
      <c r="H43" s="56">
        <v>3754988</v>
      </c>
      <c r="I43" s="56">
        <v>2298845</v>
      </c>
      <c r="J43" s="59">
        <v>2298845</v>
      </c>
      <c r="K43" s="60"/>
      <c r="L43" s="60"/>
      <c r="M43" s="61"/>
      <c r="N43" s="62"/>
      <c r="O43" s="62"/>
      <c r="P43" s="103"/>
      <c r="Q43" s="104"/>
      <c r="R43" s="104"/>
    </row>
    <row r="44" spans="1:18" ht="19" x14ac:dyDescent="0.25">
      <c r="A44" s="64" t="s">
        <v>84</v>
      </c>
      <c r="B44" s="65">
        <v>74126065</v>
      </c>
      <c r="C44" s="65">
        <v>46409498</v>
      </c>
      <c r="D44" s="66">
        <v>32015283</v>
      </c>
      <c r="E44" s="67">
        <v>8822457</v>
      </c>
      <c r="F44" s="65">
        <v>8790568</v>
      </c>
      <c r="G44" s="68">
        <v>7148260</v>
      </c>
      <c r="H44" s="66">
        <v>7148260</v>
      </c>
      <c r="I44" s="66">
        <v>4074959</v>
      </c>
      <c r="J44" s="69">
        <v>4074959</v>
      </c>
      <c r="K44" s="70" t="s">
        <v>85</v>
      </c>
      <c r="L44" s="70">
        <v>90355</v>
      </c>
      <c r="M44" s="71">
        <v>84070</v>
      </c>
      <c r="N44" s="72">
        <v>1342</v>
      </c>
      <c r="O44" s="72">
        <v>15679</v>
      </c>
      <c r="P44" s="105"/>
      <c r="Q44" s="106"/>
      <c r="R44" s="106"/>
    </row>
    <row r="45" spans="1:18" ht="19" x14ac:dyDescent="0.25">
      <c r="A45" s="34" t="s">
        <v>86</v>
      </c>
      <c r="B45" s="35">
        <v>78842092</v>
      </c>
      <c r="C45" s="35">
        <v>47928190</v>
      </c>
      <c r="D45" s="36">
        <v>33596821</v>
      </c>
      <c r="E45" s="37">
        <v>7770781</v>
      </c>
      <c r="F45" s="35">
        <v>7743272</v>
      </c>
      <c r="G45" s="38">
        <v>6123394</v>
      </c>
      <c r="H45" s="36">
        <v>6123394</v>
      </c>
      <c r="I45" s="36">
        <v>3747562</v>
      </c>
      <c r="J45" s="39">
        <v>3747562</v>
      </c>
      <c r="K45" s="73"/>
      <c r="L45" s="73"/>
      <c r="M45" s="74"/>
      <c r="N45" s="75"/>
      <c r="O45" s="75"/>
      <c r="P45" s="101"/>
      <c r="Q45" s="102"/>
      <c r="R45" s="102"/>
    </row>
    <row r="46" spans="1:18" ht="20" thickBot="1" x14ac:dyDescent="0.3">
      <c r="A46" s="44" t="s">
        <v>87</v>
      </c>
      <c r="B46" s="45">
        <v>68844084</v>
      </c>
      <c r="C46" s="45">
        <v>49037433</v>
      </c>
      <c r="D46" s="46">
        <v>28998683</v>
      </c>
      <c r="E46" s="47">
        <v>14938518</v>
      </c>
      <c r="F46" s="45">
        <v>14909312</v>
      </c>
      <c r="G46" s="48">
        <v>12008078</v>
      </c>
      <c r="H46" s="46">
        <v>12008078</v>
      </c>
      <c r="I46" s="46">
        <v>8567161</v>
      </c>
      <c r="J46" s="49">
        <v>8567161</v>
      </c>
      <c r="K46" s="82"/>
      <c r="L46" s="82"/>
      <c r="M46" s="83"/>
      <c r="N46" s="84"/>
      <c r="O46" s="84"/>
      <c r="P46" s="103"/>
      <c r="Q46" s="104"/>
      <c r="R46" s="104"/>
    </row>
    <row r="47" spans="1:18" ht="20" thickBot="1" x14ac:dyDescent="0.3">
      <c r="A47" s="107" t="s">
        <v>88</v>
      </c>
      <c r="B47" s="108">
        <f>AVERAGE(B5:B46)</f>
        <v>81278191.619047612</v>
      </c>
      <c r="C47" s="109">
        <f t="shared" ref="C47:O47" si="6">AVERAGE(C5:C46)</f>
        <v>41747844.809523806</v>
      </c>
      <c r="D47" s="110">
        <f t="shared" si="6"/>
        <v>29577375.285714287</v>
      </c>
      <c r="E47" s="108">
        <f t="shared" si="6"/>
        <v>7884254.5714285718</v>
      </c>
      <c r="F47" s="111">
        <f t="shared" si="6"/>
        <v>7860300.5</v>
      </c>
      <c r="G47" s="109">
        <f t="shared" si="6"/>
        <v>6275749.3571428573</v>
      </c>
      <c r="H47" s="112">
        <f t="shared" si="6"/>
        <v>6275749.3571428573</v>
      </c>
      <c r="I47" s="110">
        <f t="shared" si="6"/>
        <v>3846781.2857142859</v>
      </c>
      <c r="J47" s="112">
        <f t="shared" si="6"/>
        <v>3846781.2857142859</v>
      </c>
      <c r="K47" s="112"/>
      <c r="L47" s="112">
        <f t="shared" si="6"/>
        <v>37805.642857142855</v>
      </c>
      <c r="M47" s="112">
        <f t="shared" si="6"/>
        <v>44244.285714285717</v>
      </c>
      <c r="N47" s="112">
        <f t="shared" si="6"/>
        <v>785.5</v>
      </c>
      <c r="O47" s="112">
        <f t="shared" si="6"/>
        <v>7829.6428571428569</v>
      </c>
      <c r="P47" s="113"/>
      <c r="Q47" s="113"/>
      <c r="R47" s="113"/>
    </row>
  </sheetData>
  <mergeCells count="115">
    <mergeCell ref="Q41:Q43"/>
    <mergeCell ref="R41:R43"/>
    <mergeCell ref="K44:K46"/>
    <mergeCell ref="L44:L46"/>
    <mergeCell ref="M44:M46"/>
    <mergeCell ref="N44:N46"/>
    <mergeCell ref="O44:O46"/>
    <mergeCell ref="P44:P46"/>
    <mergeCell ref="Q44:Q46"/>
    <mergeCell ref="R44:R46"/>
    <mergeCell ref="K41:K43"/>
    <mergeCell ref="L41:L43"/>
    <mergeCell ref="M41:M43"/>
    <mergeCell ref="N41:N43"/>
    <mergeCell ref="O41:O43"/>
    <mergeCell ref="P41:P43"/>
    <mergeCell ref="Q35:Q37"/>
    <mergeCell ref="R35:R37"/>
    <mergeCell ref="K38:K40"/>
    <mergeCell ref="L38:L40"/>
    <mergeCell ref="M38:M40"/>
    <mergeCell ref="N38:N40"/>
    <mergeCell ref="O38:O40"/>
    <mergeCell ref="P38:P40"/>
    <mergeCell ref="Q38:Q40"/>
    <mergeCell ref="R38:R40"/>
    <mergeCell ref="K35:K37"/>
    <mergeCell ref="L35:L37"/>
    <mergeCell ref="M35:M37"/>
    <mergeCell ref="N35:N37"/>
    <mergeCell ref="O35:O37"/>
    <mergeCell ref="P35:P37"/>
    <mergeCell ref="Q29:Q31"/>
    <mergeCell ref="R29:R31"/>
    <mergeCell ref="K32:K34"/>
    <mergeCell ref="L32:L34"/>
    <mergeCell ref="M32:M34"/>
    <mergeCell ref="N32:N34"/>
    <mergeCell ref="O32:O34"/>
    <mergeCell ref="P32:P34"/>
    <mergeCell ref="Q32:Q34"/>
    <mergeCell ref="R32:R34"/>
    <mergeCell ref="K29:K31"/>
    <mergeCell ref="L29:L31"/>
    <mergeCell ref="M29:M31"/>
    <mergeCell ref="N29:N31"/>
    <mergeCell ref="O29:O31"/>
    <mergeCell ref="P29:P31"/>
    <mergeCell ref="Q23:Q25"/>
    <mergeCell ref="R23:R25"/>
    <mergeCell ref="K26:K28"/>
    <mergeCell ref="L26:L28"/>
    <mergeCell ref="M26:M28"/>
    <mergeCell ref="N26:N28"/>
    <mergeCell ref="O26:O28"/>
    <mergeCell ref="P26:P28"/>
    <mergeCell ref="Q26:Q28"/>
    <mergeCell ref="R26:R28"/>
    <mergeCell ref="K23:K25"/>
    <mergeCell ref="L23:L25"/>
    <mergeCell ref="M23:M25"/>
    <mergeCell ref="N23:N25"/>
    <mergeCell ref="O23:O25"/>
    <mergeCell ref="P23:P25"/>
    <mergeCell ref="Q17:Q19"/>
    <mergeCell ref="R17:R19"/>
    <mergeCell ref="K20:K22"/>
    <mergeCell ref="L20:L22"/>
    <mergeCell ref="M20:M22"/>
    <mergeCell ref="N20:N22"/>
    <mergeCell ref="O20:O22"/>
    <mergeCell ref="P20:P22"/>
    <mergeCell ref="Q20:Q22"/>
    <mergeCell ref="R20:R22"/>
    <mergeCell ref="K17:K19"/>
    <mergeCell ref="L17:L19"/>
    <mergeCell ref="M17:M19"/>
    <mergeCell ref="N17:N19"/>
    <mergeCell ref="O17:O19"/>
    <mergeCell ref="P17:P19"/>
    <mergeCell ref="Q11:Q13"/>
    <mergeCell ref="R11:R13"/>
    <mergeCell ref="K14:K16"/>
    <mergeCell ref="L14:L16"/>
    <mergeCell ref="M14:M16"/>
    <mergeCell ref="N14:N16"/>
    <mergeCell ref="O14:O16"/>
    <mergeCell ref="P14:P16"/>
    <mergeCell ref="Q14:Q16"/>
    <mergeCell ref="R14:R16"/>
    <mergeCell ref="K11:K13"/>
    <mergeCell ref="L11:L13"/>
    <mergeCell ref="M11:M13"/>
    <mergeCell ref="N11:N13"/>
    <mergeCell ref="O11:O13"/>
    <mergeCell ref="P11:P13"/>
    <mergeCell ref="R5:R7"/>
    <mergeCell ref="K8:K10"/>
    <mergeCell ref="L8:L10"/>
    <mergeCell ref="M8:M10"/>
    <mergeCell ref="N8:N10"/>
    <mergeCell ref="O8:O10"/>
    <mergeCell ref="P8:P10"/>
    <mergeCell ref="Q8:Q10"/>
    <mergeCell ref="R8:R10"/>
    <mergeCell ref="K2:R2"/>
    <mergeCell ref="E3:F3"/>
    <mergeCell ref="G3:H3"/>
    <mergeCell ref="K5:K7"/>
    <mergeCell ref="L5:L7"/>
    <mergeCell ref="M5:M7"/>
    <mergeCell ref="N5:N7"/>
    <mergeCell ref="O5:O7"/>
    <mergeCell ref="P5:P7"/>
    <mergeCell ref="Q5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Birch</dc:creator>
  <cp:lastModifiedBy>Sydney Birch</cp:lastModifiedBy>
  <dcterms:created xsi:type="dcterms:W3CDTF">2026-02-16T14:54:54Z</dcterms:created>
  <dcterms:modified xsi:type="dcterms:W3CDTF">2026-02-16T14:57:57Z</dcterms:modified>
</cp:coreProperties>
</file>